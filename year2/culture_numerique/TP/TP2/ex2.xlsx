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<sst xmlns="http://schemas.openxmlformats.org/spreadsheetml/2006/main" count="18" uniqueCount="18">
  <si>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>Prénom</t>
  </si>
  <si>
    <t>Profession</t>
  </si>
  <si>
    <t>Cotisation</t>
  </si>
  <si>
    <t>Naissance</t>
  </si>
  <si>
    <t>Age</t>
  </si>
  <si>
    <t>Oussama</t>
  </si>
  <si>
    <t>Enseignant</t>
  </si>
  <si>
    <t>Halima</t>
  </si>
  <si>
    <t>Ingenieur</t>
  </si>
  <si>
    <t>Samia</t>
  </si>
  <si>
    <t>Enseignante</t>
  </si>
  <si>
    <t>Ahmed</t>
  </si>
  <si>
    <t>Secrétaire</t>
  </si>
  <si>
    <t>Sami</t>
  </si>
  <si>
    <t>Ingénieur</t>
  </si>
  <si>
    <t>Farid</t>
  </si>
  <si>
    <t>Anas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</si>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</sst>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4" xfId="0" applyNumberFormat="1"/>
    <xf fontId="0" fillId="0" borderId="0" numFmtId="1" xfId="0" applyNumberFormat="1"/>
    <xf fontId="0" fillId="0" borderId="0" numFmtId="22" xfId="0" applyNumberFormat="1"/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E$13:$I$22">
  <autoFilter ref="$E$13:$I$22"/>
  <tableColumns count="5">
    <tableColumn id="1" name="Prénom"/>
    <tableColumn id="2" name="Profession"/>
    <tableColumn id="3" name="Cotisation"/>
    <tableColumn id="4" name="Naissance"/>
    <tableColumn id="5" name="Ag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" zoomScale="100" workbookViewId="0">
      <selection activeCell="A1" activeCellId="0" sqref="A1"/>
    </sheetView>
  </sheetViews>
  <sheetFormatPr baseColWidth="9" defaultRowHeight="14.25"/>
  <cols>
    <col customWidth="1" min="6" max="6" width="12.421875"/>
    <col bestFit="1" min="8" max="8" width="11.421875"/>
    <col bestFit="1" min="9" max="9" width="12.421875"/>
    <col bestFit="1" min="10" max="10" width="12.140625"/>
    <col bestFit="1" min="11" max="11" width="15.23046875"/>
    <col bestFit="1" min="12" max="12" width="14.421875"/>
  </cols>
  <sheetData>
    <row r="1"/>
    <row r="2"/>
    <row r="3"/>
    <row r="4"/>
    <row r="5"/>
    <row r="6"/>
    <row r="7"/>
    <row r="8"/>
    <row r="9"/>
    <row r="10"/>
    <row r="11"/>
    <row r="12" ht="14.25"/>
    <row r="13" ht="14.25">
      <c r="E13" t="s">
        <v>0</v>
      </c>
      <c r="F13" t="s">
        <v>1</v>
      </c>
      <c r="G13" t="s">
        <v>2</v>
      </c>
      <c r="H13" t="s">
        <v>3</v>
      </c>
      <c r="I13" t="s">
        <v>4</v>
      </c>
    </row>
    <row r="14" ht="14.25">
      <c r="E14" t="s">
        <v>5</v>
      </c>
      <c r="F14" t="s">
        <v>6</v>
      </c>
      <c r="G14">
        <v>355</v>
      </c>
      <c r="H14" s="1">
        <v>23837</v>
      </c>
      <c r="I14" s="2">
        <f ca="1">YEAR(NOW())-YEAR(Table1[[#This Row],[Naissance]])</f>
        <v>60</v>
      </c>
    </row>
    <row r="15" ht="14.25">
      <c r="E15" t="s">
        <v>7</v>
      </c>
      <c r="F15" t="s">
        <v>8</v>
      </c>
      <c r="G15">
        <v>522</v>
      </c>
      <c r="H15" s="1">
        <v>19822</v>
      </c>
      <c r="I15" s="2">
        <f ca="1">YEAR(NOW())-YEAR(Table1[[#This Row],[Naissance]])</f>
        <v>71</v>
      </c>
    </row>
    <row r="16" ht="14.25">
      <c r="E16" t="s">
        <v>9</v>
      </c>
      <c r="F16" t="s">
        <v>10</v>
      </c>
      <c r="G16">
        <v>400</v>
      </c>
      <c r="H16" s="1">
        <v>29564</v>
      </c>
      <c r="I16" s="2">
        <f ca="1">YEAR(NOW())-YEAR(Table1[[#This Row],[Naissance]])</f>
        <v>45</v>
      </c>
    </row>
    <row r="17" ht="14.25">
      <c r="E17" t="s">
        <v>11</v>
      </c>
      <c r="F17" t="s">
        <v>12</v>
      </c>
      <c r="G17">
        <v>780</v>
      </c>
      <c r="H17" s="1">
        <v>28623</v>
      </c>
      <c r="I17" s="2">
        <f ca="1">YEAR(NOW())-YEAR(Table1[[#This Row],[Naissance]])</f>
        <v>47</v>
      </c>
    </row>
    <row r="18" ht="14.25">
      <c r="E18" t="s">
        <v>13</v>
      </c>
      <c r="F18" t="s">
        <v>10</v>
      </c>
      <c r="G18">
        <v>712</v>
      </c>
      <c r="H18" s="1">
        <v>29249</v>
      </c>
      <c r="I18" s="2">
        <f ca="1">YEAR(NOW())-YEAR(Table1[[#This Row],[Naissance]])</f>
        <v>45</v>
      </c>
    </row>
    <row r="19" ht="14.25">
      <c r="E19" t="s">
        <v>7</v>
      </c>
      <c r="F19" t="s">
        <v>14</v>
      </c>
      <c r="G19">
        <v>200</v>
      </c>
      <c r="H19" s="1">
        <v>12149</v>
      </c>
      <c r="I19" s="2">
        <f ca="1">YEAR(NOW())-YEAR(Table1[[#This Row],[Naissance]])</f>
        <v>92</v>
      </c>
      <c r="K19" s="3"/>
    </row>
    <row r="20" ht="14.25">
      <c r="E20" t="s">
        <v>15</v>
      </c>
      <c r="F20" t="s">
        <v>6</v>
      </c>
      <c r="G20">
        <v>200</v>
      </c>
      <c r="H20" s="1">
        <v>25149</v>
      </c>
      <c r="I20" s="2">
        <f ca="1">YEAR(NOW())-YEAR(Table1[[#This Row],[Naissance]])</f>
        <v>57</v>
      </c>
    </row>
    <row r="21" ht="14.25">
      <c r="E21" t="s">
        <v>16</v>
      </c>
      <c r="F21" t="s">
        <v>6</v>
      </c>
      <c r="G21">
        <v>588</v>
      </c>
      <c r="H21" s="1">
        <v>23837</v>
      </c>
      <c r="I21" s="2">
        <f ca="1">YEAR(NOW())-YEAR(Table1[[#This Row],[Naissance]])</f>
        <v>60</v>
      </c>
    </row>
    <row r="22" ht="14.25">
      <c r="E22" t="s">
        <v>17</v>
      </c>
      <c r="F22" t="s">
        <v>12</v>
      </c>
      <c r="G22">
        <v>110</v>
      </c>
      <c r="H22" s="1">
        <v>28602</v>
      </c>
      <c r="I22" s="2">
        <f ca="1">YEAR(NOW())-YEAR(Table1[[#This Row],[Naissance]])</f>
        <v>47</v>
      </c>
    </row>
    <row r="24" ht="14.25">
      <c r="E24" s="4">
        <v>1</v>
      </c>
    </row>
    <row r="25" ht="14.25">
      <c r="E25" t="str">
        <f t="array" ref="E25:I30">_xlfn._xlws.FILTER(Table1[#All],(Table1[[#All],[Profession]]="Secrétaire")+(Table1[[#All],[Cotisation]]&gt;400))</f>
        <v>Prénom</v>
      </c>
      <c r="F25" t="str">
        <f/>
        <v>Profession</v>
      </c>
      <c r="G25" t="str">
        <f/>
        <v>Cotisation</v>
      </c>
      <c r="H25" t="str">
        <f/>
        <v>Naissance</v>
      </c>
      <c r="I25" t="str">
        <f/>
        <v>Age</v>
      </c>
    </row>
    <row r="26" ht="14.25">
      <c r="E26" t="str">
        <f/>
        <v>Halima</v>
      </c>
      <c r="F26" t="str">
        <f/>
        <v>Ingenieur</v>
      </c>
      <c r="G26">
        <f/>
        <v>522</v>
      </c>
      <c r="H26">
        <f/>
        <v>19822</v>
      </c>
      <c r="I26">
        <f/>
        <v>71</v>
      </c>
    </row>
    <row r="27" ht="14.25">
      <c r="E27" t="str">
        <f/>
        <v>Ahmed</v>
      </c>
      <c r="F27" t="str">
        <f/>
        <v>Secrétaire</v>
      </c>
      <c r="G27">
        <f/>
        <v>780</v>
      </c>
      <c r="H27">
        <f/>
        <v>28623</v>
      </c>
      <c r="I27">
        <f/>
        <v>47</v>
      </c>
    </row>
    <row r="28" ht="14.25">
      <c r="E28" t="str">
        <f/>
        <v>Sami</v>
      </c>
      <c r="F28" t="str">
        <f/>
        <v>Enseignante</v>
      </c>
      <c r="G28">
        <f/>
        <v>712</v>
      </c>
      <c r="H28">
        <f/>
        <v>29249</v>
      </c>
      <c r="I28">
        <f/>
        <v>45</v>
      </c>
    </row>
    <row r="29" ht="14.25">
      <c r="E29" t="str">
        <f/>
        <v>Anas</v>
      </c>
      <c r="F29" t="str">
        <f/>
        <v>Enseignant</v>
      </c>
      <c r="G29">
        <f/>
        <v>588</v>
      </c>
      <c r="H29">
        <f/>
        <v>23837</v>
      </c>
      <c r="I29">
        <f/>
        <v>60</v>
      </c>
    </row>
    <row r="30" ht="14.25">
      <c r="E30" t="str">
        <f/>
        <v>Ali</v>
      </c>
      <c r="F30" t="str">
        <f/>
        <v>Secrétaire</v>
      </c>
      <c r="G30">
        <f/>
        <v>110</v>
      </c>
      <c r="H30">
        <f/>
        <v>28602</v>
      </c>
      <c r="I30">
        <f/>
        <v>47</v>
      </c>
    </row>
    <row r="32" ht="14.25">
      <c r="E32" s="4">
        <v>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